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ubge-my.sharepoint.com/personal/zsedely_tamas_62_unibge_hu/Documents/"/>
    </mc:Choice>
  </mc:AlternateContent>
  <xr:revisionPtr revIDLastSave="244" documentId="11_9248653540E74473E8634A399E3E8C1851038385" xr6:coauthVersionLast="47" xr6:coauthVersionMax="47" xr10:uidLastSave="{3F140574-941F-4B65-B4B4-A860DD515051}"/>
  <bookViews>
    <workbookView minimized="1" xWindow="1125" yWindow="1125" windowWidth="11520" windowHeight="7875" xr2:uid="{00000000-000D-0000-FFFF-FFFF00000000}"/>
  </bookViews>
  <sheets>
    <sheet name="Munka1" sheetId="1" r:id="rId1"/>
    <sheet name="Munka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8" i="1" l="1"/>
  <c r="E67" i="1"/>
  <c r="E66" i="1"/>
  <c r="E65" i="1"/>
  <c r="E59" i="1"/>
  <c r="E58" i="1" s="1"/>
  <c r="E57" i="1"/>
  <c r="E56" i="1"/>
  <c r="E50" i="1"/>
  <c r="E49" i="1"/>
  <c r="E48" i="1"/>
  <c r="E47" i="1"/>
  <c r="E41" i="1"/>
  <c r="E40" i="1"/>
  <c r="E39" i="1"/>
  <c r="E38" i="1"/>
  <c r="E32" i="1"/>
  <c r="E31" i="1"/>
  <c r="E30" i="1"/>
  <c r="E29" i="1"/>
  <c r="E23" i="1"/>
  <c r="E22" i="1"/>
  <c r="E21" i="1"/>
  <c r="E20" i="1"/>
  <c r="E14" i="1"/>
  <c r="E13" i="1"/>
  <c r="E12" i="1"/>
  <c r="E11" i="1"/>
  <c r="E5" i="1"/>
  <c r="E4" i="1" s="1"/>
  <c r="E6" i="1" l="1"/>
  <c r="E7" i="1"/>
  <c r="E8" i="1"/>
  <c r="E9" i="1" s="1"/>
  <c r="E10" i="1" s="1"/>
  <c r="E3" i="1"/>
  <c r="E2" i="1" s="1"/>
  <c r="E71" i="1"/>
  <c r="E72" i="1" s="1"/>
  <c r="E73" i="1" s="1"/>
  <c r="E70" i="1"/>
  <c r="E69" i="1"/>
  <c r="E62" i="1"/>
  <c r="E63" i="1" s="1"/>
  <c r="E64" i="1" s="1"/>
  <c r="E61" i="1"/>
  <c r="E60" i="1"/>
  <c r="E53" i="1"/>
  <c r="E54" i="1" s="1"/>
  <c r="E55" i="1" s="1"/>
  <c r="E52" i="1"/>
  <c r="E51" i="1"/>
  <c r="E44" i="1"/>
  <c r="E45" i="1" s="1"/>
  <c r="E46" i="1" s="1"/>
  <c r="E43" i="1"/>
  <c r="E42" i="1"/>
  <c r="E35" i="1"/>
  <c r="E36" i="1" s="1"/>
  <c r="E37" i="1" s="1"/>
  <c r="E34" i="1"/>
  <c r="E33" i="1"/>
  <c r="E26" i="1"/>
  <c r="E27" i="1" s="1"/>
  <c r="E28" i="1" s="1"/>
  <c r="E25" i="1"/>
  <c r="E24" i="1"/>
  <c r="E17" i="1"/>
  <c r="E18" i="1" s="1"/>
  <c r="E19" i="1" s="1"/>
  <c r="E16" i="1"/>
  <c r="E15" i="1"/>
</calcChain>
</file>

<file path=xl/sharedStrings.xml><?xml version="1.0" encoding="utf-8"?>
<sst xmlns="http://schemas.openxmlformats.org/spreadsheetml/2006/main" count="235" uniqueCount="98">
  <si>
    <t>Cikkszám</t>
  </si>
  <si>
    <t>FNév</t>
  </si>
  <si>
    <t>Kiszerelés (ml)</t>
  </si>
  <si>
    <t>Ár</t>
  </si>
  <si>
    <t>Szín</t>
  </si>
  <si>
    <t>A0001</t>
  </si>
  <si>
    <t>Fehér Arany</t>
  </si>
  <si>
    <t>Fehér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</si>
  <si>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</si>
  <si>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</si>
  <si>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</si>
  <si>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</si>
  <si>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</si>
  <si>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</si>
  <si>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</si>
  <si>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</si>
  <si>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</si>
  <si>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Vörös Rezes</t>
  </si>
  <si>
    <t>Vörös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</si>
  <si>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</si>
  <si>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</si>
  <si>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</si>
  <si>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</si>
  <si>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</si>
  <si>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</si>
  <si>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</si>
  <si>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</si>
  <si>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</si>
  <si>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Rozé Rózsája</t>
  </si>
  <si>
    <t>Rozé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</si>
  <si>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</si>
  <si>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</si>
  <si>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</si>
  <si>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</si>
  <si>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</si>
  <si>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</si>
  <si>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</si>
  <si>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</si>
  <si>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</si>
  <si>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Józsi bácsi Koccintós</t>
  </si>
  <si>
    <t>Vegyes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</si>
  <si>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</si>
  <si>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</si>
  <si>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</si>
  <si>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</si>
  <si>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</si>
  <si>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</si>
  <si>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</si>
  <si>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</si>
  <si>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</si>
  <si>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Don Perignon</t>
  </si>
  <si>
    <t>Pezsgő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</si>
  <si>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</si>
  <si>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</si>
  <si>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</si>
  <si>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</si>
  <si>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</si>
  <si>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</si>
  <si>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</si>
  <si>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</si>
  <si>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</si>
  <si>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Trockenbeerenauslese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</si>
  <si>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</si>
  <si>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</si>
  <si>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</si>
  <si>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</si>
  <si>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</si>
  <si>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</si>
  <si>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</si>
  <si>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</si>
  <si>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</si>
  <si>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"07-es Birtok Eszencia"</t>
  </si>
  <si>
    <t>Couve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</si>
  <si>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</si>
  <si>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</si>
  <si>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</si>
  <si>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</si>
  <si>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</si>
  <si>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</si>
  <si>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</si>
  <si>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</si>
  <si>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</si>
  <si>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NEIDDMEGBOR</t>
  </si>
  <si>
    <t>Meghatározhatatlan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</si>
  <si>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</si>
  <si>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</si>
  <si>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</si>
  <si>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</si>
  <si>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</si>
  <si>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</si>
  <si>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</si>
  <si>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</si>
  <si>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T0001</t>
  </si>
  <si>
    <t>Boroshordó</t>
  </si>
  <si>
    <t>NINCS</t>
  </si>
  <si>
    <t>Z0001</t>
  </si>
  <si>
    <t>Pohár</t>
  </si>
  <si>
    <t>2007-es Birtok Eszencia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</si>
</sst>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75"/>
  <sheetViews>
    <sheetView tabSelected="1" topLeftCell="A46" workbookViewId="0">
      <selection activeCell="C47" sqref="C47"/>
    </sheetView>
  </sheetViews>
  <sheetFormatPr defaultRowHeight="15" x14ac:dyDescent="0.25"/>
  <cols>
    <col min="3" max="3" width="12.7109375" customWidth="1"/>
    <col min="4" max="4" width="13.7109375" bestFit="1" customWidth="1"/>
  </cols>
  <sheetData>
    <row r="1" spans="2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6" x14ac:dyDescent="0.25">
      <c r="B2" t="s">
        <v>5</v>
      </c>
      <c r="C2" t="s">
        <v>6</v>
      </c>
      <c r="D2">
        <v>100000</v>
      </c>
      <c r="E2">
        <f>E3*10</f>
        <v>300000.00000000006</v>
      </c>
      <c r="F2" t="s">
        <v>7</v>
      </c>
    </row>
    <row r="3" spans="2:6" x14ac:dyDescent="0.25">
      <c r="B3" t="s">
        <v>8</v>
      </c>
      <c r="C3" t="s">
        <v>6</v>
      </c>
      <c r="D3">
        <v>10000</v>
      </c>
      <c r="E3">
        <f>E4*10-E4</f>
        <v>30000.000000000004</v>
      </c>
      <c r="F3" t="s">
        <v>7</v>
      </c>
    </row>
    <row r="4" spans="2:6" x14ac:dyDescent="0.25">
      <c r="B4" t="s">
        <v>9</v>
      </c>
      <c r="C4" t="s">
        <v>6</v>
      </c>
      <c r="D4">
        <v>1000</v>
      </c>
      <c r="E4">
        <f>E5/0.75</f>
        <v>3333.3333333333335</v>
      </c>
      <c r="F4" t="s">
        <v>7</v>
      </c>
    </row>
    <row r="5" spans="2:6" x14ac:dyDescent="0.25">
      <c r="B5" t="s">
        <v>10</v>
      </c>
      <c r="C5" t="s">
        <v>6</v>
      </c>
      <c r="D5">
        <v>750</v>
      </c>
      <c r="E5" s="1">
        <f>Munka2!C2</f>
        <v>2500</v>
      </c>
      <c r="F5" t="s">
        <v>7</v>
      </c>
    </row>
    <row r="6" spans="2:6" x14ac:dyDescent="0.25">
      <c r="B6" t="s">
        <v>11</v>
      </c>
      <c r="C6" t="s">
        <v>6</v>
      </c>
      <c r="D6">
        <v>500</v>
      </c>
      <c r="E6">
        <f>(E4-(E4/10))/2</f>
        <v>1500</v>
      </c>
      <c r="F6" t="s">
        <v>7</v>
      </c>
    </row>
    <row r="7" spans="2:6" x14ac:dyDescent="0.25">
      <c r="B7" t="s">
        <v>12</v>
      </c>
      <c r="C7" t="s">
        <v>6</v>
      </c>
      <c r="D7">
        <v>300</v>
      </c>
      <c r="E7">
        <f>(E4-(E4/10))/3</f>
        <v>1000</v>
      </c>
      <c r="F7" t="s">
        <v>7</v>
      </c>
    </row>
    <row r="8" spans="2:6" x14ac:dyDescent="0.25">
      <c r="B8" t="s">
        <v>13</v>
      </c>
      <c r="C8" t="s">
        <v>6</v>
      </c>
      <c r="D8">
        <v>100</v>
      </c>
      <c r="E8">
        <f>E4/10</f>
        <v>333.33333333333337</v>
      </c>
      <c r="F8" t="s">
        <v>7</v>
      </c>
    </row>
    <row r="9" spans="2:6" x14ac:dyDescent="0.25">
      <c r="B9" t="s">
        <v>14</v>
      </c>
      <c r="C9" t="s">
        <v>6</v>
      </c>
      <c r="D9">
        <v>10</v>
      </c>
      <c r="E9">
        <f>E8/10</f>
        <v>33.333333333333336</v>
      </c>
      <c r="F9" t="s">
        <v>7</v>
      </c>
    </row>
    <row r="10" spans="2:6" x14ac:dyDescent="0.25">
      <c r="B10" t="s">
        <v>15</v>
      </c>
      <c r="C10" t="s">
        <v>6</v>
      </c>
      <c r="D10">
        <v>1</v>
      </c>
      <c r="E10">
        <f>E9/10</f>
        <v>3.3333333333333335</v>
      </c>
      <c r="F10" t="s">
        <v>7</v>
      </c>
    </row>
    <row r="11" spans="2:6" x14ac:dyDescent="0.25">
      <c r="B11" t="s">
        <v>16</v>
      </c>
      <c r="C11" t="s">
        <v>17</v>
      </c>
      <c r="D11">
        <v>100000</v>
      </c>
      <c r="E11">
        <f>E12*10</f>
        <v>216000</v>
      </c>
      <c r="F11" t="s">
        <v>18</v>
      </c>
    </row>
    <row r="12" spans="2:6" x14ac:dyDescent="0.25">
      <c r="B12" t="s">
        <v>19</v>
      </c>
      <c r="C12" t="s">
        <v>17</v>
      </c>
      <c r="D12">
        <v>10000</v>
      </c>
      <c r="E12">
        <f>E13*10-E13</f>
        <v>21600</v>
      </c>
      <c r="F12" t="s">
        <v>18</v>
      </c>
    </row>
    <row r="13" spans="2:6" x14ac:dyDescent="0.25">
      <c r="B13" t="s">
        <v>20</v>
      </c>
      <c r="C13" t="s">
        <v>17</v>
      </c>
      <c r="D13">
        <v>1000</v>
      </c>
      <c r="E13">
        <f>E14/0.75</f>
        <v>2400</v>
      </c>
      <c r="F13" t="s">
        <v>18</v>
      </c>
    </row>
    <row r="14" spans="2:6" x14ac:dyDescent="0.25">
      <c r="B14" t="s">
        <v>21</v>
      </c>
      <c r="C14" t="s">
        <v>17</v>
      </c>
      <c r="D14">
        <v>750</v>
      </c>
      <c r="E14" s="1">
        <f>Munka2!C3</f>
        <v>1800</v>
      </c>
      <c r="F14" t="s">
        <v>18</v>
      </c>
    </row>
    <row r="15" spans="2:6" x14ac:dyDescent="0.25">
      <c r="B15" t="s">
        <v>22</v>
      </c>
      <c r="C15" t="s">
        <v>17</v>
      </c>
      <c r="D15">
        <v>500</v>
      </c>
      <c r="E15">
        <f>(E13-(E13/10))/2</f>
        <v>1080</v>
      </c>
      <c r="F15" t="s">
        <v>18</v>
      </c>
    </row>
    <row r="16" spans="2:6" x14ac:dyDescent="0.25">
      <c r="B16" t="s">
        <v>23</v>
      </c>
      <c r="C16" t="s">
        <v>17</v>
      </c>
      <c r="D16">
        <v>300</v>
      </c>
      <c r="E16">
        <f>(E13-(E13/10))/3</f>
        <v>720</v>
      </c>
      <c r="F16" t="s">
        <v>18</v>
      </c>
    </row>
    <row r="17" spans="2:6" x14ac:dyDescent="0.25">
      <c r="B17" t="s">
        <v>24</v>
      </c>
      <c r="C17" t="s">
        <v>17</v>
      </c>
      <c r="D17">
        <v>100</v>
      </c>
      <c r="E17">
        <f>E13/10</f>
        <v>240</v>
      </c>
      <c r="F17" t="s">
        <v>18</v>
      </c>
    </row>
    <row r="18" spans="2:6" x14ac:dyDescent="0.25">
      <c r="B18" t="s">
        <v>25</v>
      </c>
      <c r="C18" t="s">
        <v>17</v>
      </c>
      <c r="D18">
        <v>10</v>
      </c>
      <c r="E18">
        <f>E17/10</f>
        <v>24</v>
      </c>
      <c r="F18" t="s">
        <v>18</v>
      </c>
    </row>
    <row r="19" spans="2:6" x14ac:dyDescent="0.25">
      <c r="B19" t="s">
        <v>26</v>
      </c>
      <c r="C19" t="s">
        <v>17</v>
      </c>
      <c r="D19">
        <v>1</v>
      </c>
      <c r="E19">
        <f>E18/10</f>
        <v>2.4</v>
      </c>
      <c r="F19" t="s">
        <v>18</v>
      </c>
    </row>
    <row r="20" spans="2:6" x14ac:dyDescent="0.25">
      <c r="B20" t="s">
        <v>27</v>
      </c>
      <c r="C20" s="2" t="s">
        <v>28</v>
      </c>
      <c r="D20">
        <v>100000</v>
      </c>
      <c r="E20">
        <f>E21*10</f>
        <v>239999.99999999997</v>
      </c>
      <c r="F20" t="s">
        <v>29</v>
      </c>
    </row>
    <row r="21" spans="2:6" x14ac:dyDescent="0.25">
      <c r="B21" t="s">
        <v>30</v>
      </c>
      <c r="C21" s="2" t="s">
        <v>28</v>
      </c>
      <c r="D21">
        <v>10000</v>
      </c>
      <c r="E21">
        <f>E22*10-E22</f>
        <v>23999.999999999996</v>
      </c>
      <c r="F21" t="s">
        <v>29</v>
      </c>
    </row>
    <row r="22" spans="2:6" x14ac:dyDescent="0.25">
      <c r="B22" t="s">
        <v>31</v>
      </c>
      <c r="C22" s="2" t="s">
        <v>28</v>
      </c>
      <c r="D22">
        <v>1000</v>
      </c>
      <c r="E22">
        <f>E23/0.75</f>
        <v>2666.6666666666665</v>
      </c>
      <c r="F22" t="s">
        <v>29</v>
      </c>
    </row>
    <row r="23" spans="2:6" x14ac:dyDescent="0.25">
      <c r="B23" t="s">
        <v>32</v>
      </c>
      <c r="C23" s="2" t="s">
        <v>28</v>
      </c>
      <c r="D23">
        <v>750</v>
      </c>
      <c r="E23" s="1">
        <f>Munka2!C4</f>
        <v>2000</v>
      </c>
      <c r="F23" t="s">
        <v>29</v>
      </c>
    </row>
    <row r="24" spans="2:6" x14ac:dyDescent="0.25">
      <c r="B24" t="s">
        <v>33</v>
      </c>
      <c r="C24" s="2" t="s">
        <v>28</v>
      </c>
      <c r="D24">
        <v>500</v>
      </c>
      <c r="E24">
        <f>(E22-(E22/10))/2</f>
        <v>1200</v>
      </c>
      <c r="F24" t="s">
        <v>29</v>
      </c>
    </row>
    <row r="25" spans="2:6" x14ac:dyDescent="0.25">
      <c r="B25" t="s">
        <v>34</v>
      </c>
      <c r="C25" s="2" t="s">
        <v>28</v>
      </c>
      <c r="D25">
        <v>300</v>
      </c>
      <c r="E25">
        <f>(E22-(E22/10))/3</f>
        <v>800</v>
      </c>
      <c r="F25" t="s">
        <v>29</v>
      </c>
    </row>
    <row r="26" spans="2:6" x14ac:dyDescent="0.25">
      <c r="B26" t="s">
        <v>35</v>
      </c>
      <c r="C26" s="2" t="s">
        <v>28</v>
      </c>
      <c r="D26">
        <v>100</v>
      </c>
      <c r="E26">
        <f>E22/10</f>
        <v>266.66666666666663</v>
      </c>
      <c r="F26" t="s">
        <v>29</v>
      </c>
    </row>
    <row r="27" spans="2:6" x14ac:dyDescent="0.25">
      <c r="B27" t="s">
        <v>36</v>
      </c>
      <c r="C27" s="2" t="s">
        <v>28</v>
      </c>
      <c r="D27">
        <v>10</v>
      </c>
      <c r="E27">
        <f>E26/10</f>
        <v>26.666666666666664</v>
      </c>
      <c r="F27" t="s">
        <v>29</v>
      </c>
    </row>
    <row r="28" spans="2:6" x14ac:dyDescent="0.25">
      <c r="B28" t="s">
        <v>37</v>
      </c>
      <c r="C28" s="2" t="s">
        <v>28</v>
      </c>
      <c r="D28">
        <v>1</v>
      </c>
      <c r="E28">
        <f>E27/10</f>
        <v>2.6666666666666665</v>
      </c>
      <c r="F28" t="s">
        <v>29</v>
      </c>
    </row>
    <row r="29" spans="2:6" x14ac:dyDescent="0.25">
      <c r="B29" t="s">
        <v>38</v>
      </c>
      <c r="C29" t="s">
        <v>39</v>
      </c>
      <c r="D29">
        <v>100000</v>
      </c>
      <c r="E29">
        <f>E30*10</f>
        <v>108000</v>
      </c>
      <c r="F29" t="s">
        <v>40</v>
      </c>
    </row>
    <row r="30" spans="2:6" x14ac:dyDescent="0.25">
      <c r="B30" t="s">
        <v>41</v>
      </c>
      <c r="C30" t="s">
        <v>39</v>
      </c>
      <c r="D30">
        <v>10000</v>
      </c>
      <c r="E30">
        <f>E31*10-E31</f>
        <v>10800</v>
      </c>
      <c r="F30" t="s">
        <v>40</v>
      </c>
    </row>
    <row r="31" spans="2:6" x14ac:dyDescent="0.25">
      <c r="B31" t="s">
        <v>42</v>
      </c>
      <c r="C31" t="s">
        <v>39</v>
      </c>
      <c r="D31">
        <v>1000</v>
      </c>
      <c r="E31">
        <f>E32/0.75</f>
        <v>1200</v>
      </c>
      <c r="F31" t="s">
        <v>40</v>
      </c>
    </row>
    <row r="32" spans="2:6" x14ac:dyDescent="0.25">
      <c r="B32" t="s">
        <v>43</v>
      </c>
      <c r="C32" t="s">
        <v>39</v>
      </c>
      <c r="D32">
        <v>750</v>
      </c>
      <c r="E32" s="1">
        <f>Munka2!C5</f>
        <v>900</v>
      </c>
      <c r="F32" t="s">
        <v>40</v>
      </c>
    </row>
    <row r="33" spans="2:6" x14ac:dyDescent="0.25">
      <c r="B33" t="s">
        <v>44</v>
      </c>
      <c r="C33" t="s">
        <v>39</v>
      </c>
      <c r="D33">
        <v>500</v>
      </c>
      <c r="E33">
        <f>(E31-(E31/10))/2</f>
        <v>540</v>
      </c>
      <c r="F33" t="s">
        <v>40</v>
      </c>
    </row>
    <row r="34" spans="2:6" x14ac:dyDescent="0.25">
      <c r="B34" t="s">
        <v>45</v>
      </c>
      <c r="C34" t="s">
        <v>39</v>
      </c>
      <c r="D34">
        <v>300</v>
      </c>
      <c r="E34">
        <f>(E31-(E31/10))/3</f>
        <v>360</v>
      </c>
      <c r="F34" t="s">
        <v>40</v>
      </c>
    </row>
    <row r="35" spans="2:6" x14ac:dyDescent="0.25">
      <c r="B35" t="s">
        <v>46</v>
      </c>
      <c r="C35" t="s">
        <v>39</v>
      </c>
      <c r="D35">
        <v>100</v>
      </c>
      <c r="E35">
        <f>E31/10</f>
        <v>120</v>
      </c>
      <c r="F35" t="s">
        <v>40</v>
      </c>
    </row>
    <row r="36" spans="2:6" x14ac:dyDescent="0.25">
      <c r="B36" t="s">
        <v>47</v>
      </c>
      <c r="C36" t="s">
        <v>39</v>
      </c>
      <c r="D36">
        <v>10</v>
      </c>
      <c r="E36">
        <f>E35/10</f>
        <v>12</v>
      </c>
      <c r="F36" t="s">
        <v>40</v>
      </c>
    </row>
    <row r="37" spans="2:6" x14ac:dyDescent="0.25">
      <c r="B37" t="s">
        <v>48</v>
      </c>
      <c r="C37" t="s">
        <v>39</v>
      </c>
      <c r="D37">
        <v>1</v>
      </c>
      <c r="E37">
        <f>E36/10</f>
        <v>1.2</v>
      </c>
      <c r="F37" t="s">
        <v>40</v>
      </c>
    </row>
    <row r="38" spans="2:6" x14ac:dyDescent="0.25">
      <c r="B38" t="s">
        <v>49</v>
      </c>
      <c r="C38" t="s">
        <v>50</v>
      </c>
      <c r="D38">
        <v>100000</v>
      </c>
      <c r="E38">
        <f>E39*10</f>
        <v>11998800</v>
      </c>
      <c r="F38" t="s">
        <v>51</v>
      </c>
    </row>
    <row r="39" spans="2:6" x14ac:dyDescent="0.25">
      <c r="B39" t="s">
        <v>52</v>
      </c>
      <c r="C39" t="s">
        <v>50</v>
      </c>
      <c r="D39">
        <v>10000</v>
      </c>
      <c r="E39">
        <f>E40*10-E40</f>
        <v>1199880</v>
      </c>
      <c r="F39" t="s">
        <v>51</v>
      </c>
    </row>
    <row r="40" spans="2:6" x14ac:dyDescent="0.25">
      <c r="B40" t="s">
        <v>53</v>
      </c>
      <c r="C40" t="s">
        <v>50</v>
      </c>
      <c r="D40">
        <v>1000</v>
      </c>
      <c r="E40">
        <f>E41/0.75</f>
        <v>133320</v>
      </c>
      <c r="F40" t="s">
        <v>51</v>
      </c>
    </row>
    <row r="41" spans="2:6" x14ac:dyDescent="0.25">
      <c r="B41" t="s">
        <v>54</v>
      </c>
      <c r="C41" t="s">
        <v>50</v>
      </c>
      <c r="D41">
        <v>750</v>
      </c>
      <c r="E41" s="1">
        <f>Munka2!C6</f>
        <v>99990</v>
      </c>
      <c r="F41" t="s">
        <v>51</v>
      </c>
    </row>
    <row r="42" spans="2:6" x14ac:dyDescent="0.25">
      <c r="B42" t="s">
        <v>55</v>
      </c>
      <c r="C42" t="s">
        <v>50</v>
      </c>
      <c r="D42">
        <v>500</v>
      </c>
      <c r="E42">
        <f>(E40-(E40/10))/2</f>
        <v>59994</v>
      </c>
      <c r="F42" t="s">
        <v>51</v>
      </c>
    </row>
    <row r="43" spans="2:6" x14ac:dyDescent="0.25">
      <c r="B43" t="s">
        <v>56</v>
      </c>
      <c r="C43" t="s">
        <v>50</v>
      </c>
      <c r="D43">
        <v>300</v>
      </c>
      <c r="E43">
        <f>(E40-(E40/10))/3</f>
        <v>39996</v>
      </c>
      <c r="F43" t="s">
        <v>51</v>
      </c>
    </row>
    <row r="44" spans="2:6" x14ac:dyDescent="0.25">
      <c r="B44" t="s">
        <v>57</v>
      </c>
      <c r="C44" t="s">
        <v>50</v>
      </c>
      <c r="D44">
        <v>100</v>
      </c>
      <c r="E44">
        <f>E40/10</f>
        <v>13332</v>
      </c>
      <c r="F44" t="s">
        <v>51</v>
      </c>
    </row>
    <row r="45" spans="2:6" x14ac:dyDescent="0.25">
      <c r="B45" t="s">
        <v>58</v>
      </c>
      <c r="C45" t="s">
        <v>50</v>
      </c>
      <c r="D45">
        <v>10</v>
      </c>
      <c r="E45">
        <f>E44/10</f>
        <v>1333.2</v>
      </c>
      <c r="F45" t="s">
        <v>51</v>
      </c>
    </row>
    <row r="46" spans="2:6" x14ac:dyDescent="0.25">
      <c r="B46" t="s">
        <v>59</v>
      </c>
      <c r="C46" t="s">
        <v>50</v>
      </c>
      <c r="D46">
        <v>1</v>
      </c>
      <c r="E46">
        <f>E45/10</f>
        <v>133.32</v>
      </c>
      <c r="F46" t="s">
        <v>51</v>
      </c>
    </row>
    <row r="47" spans="2:6" x14ac:dyDescent="0.25">
      <c r="B47" t="s">
        <v>60</v>
      </c>
      <c r="C47" s="2" t="s">
        <v>61</v>
      </c>
      <c r="D47">
        <v>100000</v>
      </c>
      <c r="E47">
        <f>E48*10</f>
        <v>326399999.99999994</v>
      </c>
      <c r="F47" t="s">
        <v>7</v>
      </c>
    </row>
    <row r="48" spans="2:6" x14ac:dyDescent="0.25">
      <c r="B48" t="s">
        <v>62</v>
      </c>
      <c r="C48" s="2" t="s">
        <v>61</v>
      </c>
      <c r="D48">
        <v>10000</v>
      </c>
      <c r="E48">
        <f>E49*10-E49</f>
        <v>32639999.999999996</v>
      </c>
      <c r="F48" t="s">
        <v>7</v>
      </c>
    </row>
    <row r="49" spans="2:6" x14ac:dyDescent="0.25">
      <c r="B49" t="s">
        <v>63</v>
      </c>
      <c r="C49" s="2" t="s">
        <v>61</v>
      </c>
      <c r="D49">
        <v>1000</v>
      </c>
      <c r="E49">
        <f>E50/0.75</f>
        <v>3626666.6666666665</v>
      </c>
      <c r="F49" t="s">
        <v>7</v>
      </c>
    </row>
    <row r="50" spans="2:6" x14ac:dyDescent="0.25">
      <c r="B50" t="s">
        <v>64</v>
      </c>
      <c r="C50" s="2" t="s">
        <v>61</v>
      </c>
      <c r="D50">
        <v>750</v>
      </c>
      <c r="E50" s="1">
        <f>Munka2!C7</f>
        <v>2720000</v>
      </c>
      <c r="F50" t="s">
        <v>7</v>
      </c>
    </row>
    <row r="51" spans="2:6" x14ac:dyDescent="0.25">
      <c r="B51" t="s">
        <v>65</v>
      </c>
      <c r="C51" s="2" t="s">
        <v>61</v>
      </c>
      <c r="D51">
        <v>500</v>
      </c>
      <c r="E51">
        <f>(E49-(E49/10))/2</f>
        <v>1632000</v>
      </c>
      <c r="F51" t="s">
        <v>7</v>
      </c>
    </row>
    <row r="52" spans="2:6" x14ac:dyDescent="0.25">
      <c r="B52" t="s">
        <v>66</v>
      </c>
      <c r="C52" s="2" t="s">
        <v>61</v>
      </c>
      <c r="D52">
        <v>300</v>
      </c>
      <c r="E52">
        <f>(E49-(E49/10))/3</f>
        <v>1088000</v>
      </c>
      <c r="F52" t="s">
        <v>7</v>
      </c>
    </row>
    <row r="53" spans="2:6" x14ac:dyDescent="0.25">
      <c r="B53" t="s">
        <v>67</v>
      </c>
      <c r="C53" s="2" t="s">
        <v>61</v>
      </c>
      <c r="D53">
        <v>100</v>
      </c>
      <c r="E53">
        <f>E49/10</f>
        <v>362666.66666666663</v>
      </c>
      <c r="F53" t="s">
        <v>7</v>
      </c>
    </row>
    <row r="54" spans="2:6" x14ac:dyDescent="0.25">
      <c r="B54" t="s">
        <v>68</v>
      </c>
      <c r="C54" s="2" t="s">
        <v>61</v>
      </c>
      <c r="D54">
        <v>10</v>
      </c>
      <c r="E54">
        <f>E53/10</f>
        <v>36266.666666666664</v>
      </c>
      <c r="F54" t="s">
        <v>7</v>
      </c>
    </row>
    <row r="55" spans="2:6" x14ac:dyDescent="0.25">
      <c r="B55" t="s">
        <v>69</v>
      </c>
      <c r="C55" s="2" t="s">
        <v>61</v>
      </c>
      <c r="D55">
        <v>1</v>
      </c>
      <c r="E55">
        <f>E54/10</f>
        <v>3626.6666666666665</v>
      </c>
      <c r="F55" t="s">
        <v>7</v>
      </c>
    </row>
    <row r="56" spans="2:6" x14ac:dyDescent="0.25">
      <c r="B56" t="s">
        <v>70</v>
      </c>
      <c r="C56" t="s">
        <v>71</v>
      </c>
      <c r="D56">
        <v>100000</v>
      </c>
      <c r="E56">
        <f>E57*10</f>
        <v>59040000</v>
      </c>
      <c r="F56" t="s">
        <v>72</v>
      </c>
    </row>
    <row r="57" spans="2:6" x14ac:dyDescent="0.25">
      <c r="B57" t="s">
        <v>73</v>
      </c>
      <c r="C57" t="s">
        <v>71</v>
      </c>
      <c r="D57">
        <v>10000</v>
      </c>
      <c r="E57">
        <f>E58*10-E58</f>
        <v>5904000</v>
      </c>
      <c r="F57" t="s">
        <v>72</v>
      </c>
    </row>
    <row r="58" spans="2:6" x14ac:dyDescent="0.25">
      <c r="B58" t="s">
        <v>74</v>
      </c>
      <c r="C58" t="s">
        <v>71</v>
      </c>
      <c r="D58">
        <v>1000</v>
      </c>
      <c r="E58">
        <f>E59/0.75</f>
        <v>656000</v>
      </c>
      <c r="F58" t="s">
        <v>72</v>
      </c>
    </row>
    <row r="59" spans="2:6" x14ac:dyDescent="0.25">
      <c r="B59" t="s">
        <v>75</v>
      </c>
      <c r="C59" t="s">
        <v>71</v>
      </c>
      <c r="D59">
        <v>750</v>
      </c>
      <c r="E59" s="1">
        <f>Munka2!C8</f>
        <v>492000</v>
      </c>
      <c r="F59" t="s">
        <v>72</v>
      </c>
    </row>
    <row r="60" spans="2:6" x14ac:dyDescent="0.25">
      <c r="B60" t="s">
        <v>76</v>
      </c>
      <c r="C60" t="s">
        <v>71</v>
      </c>
      <c r="D60">
        <v>500</v>
      </c>
      <c r="E60">
        <f>(E58-(E58/10))/2</f>
        <v>295200</v>
      </c>
      <c r="F60" t="s">
        <v>72</v>
      </c>
    </row>
    <row r="61" spans="2:6" x14ac:dyDescent="0.25">
      <c r="B61" t="s">
        <v>77</v>
      </c>
      <c r="C61" t="s">
        <v>71</v>
      </c>
      <c r="D61">
        <v>300</v>
      </c>
      <c r="E61">
        <f>(E58-(E58/10))/3</f>
        <v>196800</v>
      </c>
      <c r="F61" t="s">
        <v>72</v>
      </c>
    </row>
    <row r="62" spans="2:6" x14ac:dyDescent="0.25">
      <c r="B62" t="s">
        <v>78</v>
      </c>
      <c r="C62" t="s">
        <v>71</v>
      </c>
      <c r="D62">
        <v>100</v>
      </c>
      <c r="E62">
        <f>E58/10</f>
        <v>65600</v>
      </c>
      <c r="F62" t="s">
        <v>72</v>
      </c>
    </row>
    <row r="63" spans="2:6" x14ac:dyDescent="0.25">
      <c r="B63" t="s">
        <v>79</v>
      </c>
      <c r="C63" t="s">
        <v>71</v>
      </c>
      <c r="D63">
        <v>10</v>
      </c>
      <c r="E63">
        <f>E62/10</f>
        <v>6560</v>
      </c>
      <c r="F63" t="s">
        <v>72</v>
      </c>
    </row>
    <row r="64" spans="2:6" x14ac:dyDescent="0.25">
      <c r="B64" t="s">
        <v>80</v>
      </c>
      <c r="C64" t="s">
        <v>71</v>
      </c>
      <c r="D64">
        <v>1</v>
      </c>
      <c r="E64">
        <f>E63/10</f>
        <v>656</v>
      </c>
      <c r="F64" t="s">
        <v>72</v>
      </c>
    </row>
    <row r="65" spans="2:6" x14ac:dyDescent="0.25">
      <c r="B65" t="s">
        <v>81</v>
      </c>
      <c r="C65" t="s">
        <v>82</v>
      </c>
      <c r="D65">
        <v>100000</v>
      </c>
      <c r="E65">
        <f>E66*10</f>
        <v>10800</v>
      </c>
      <c r="F65" t="s">
        <v>83</v>
      </c>
    </row>
    <row r="66" spans="2:6" x14ac:dyDescent="0.25">
      <c r="B66" t="s">
        <v>84</v>
      </c>
      <c r="C66" t="s">
        <v>82</v>
      </c>
      <c r="D66">
        <v>10000</v>
      </c>
      <c r="E66">
        <f>E67*10-E67</f>
        <v>1080</v>
      </c>
      <c r="F66" t="s">
        <v>83</v>
      </c>
    </row>
    <row r="67" spans="2:6" x14ac:dyDescent="0.25">
      <c r="B67" t="s">
        <v>85</v>
      </c>
      <c r="C67" t="s">
        <v>82</v>
      </c>
      <c r="D67">
        <v>1000</v>
      </c>
      <c r="E67">
        <f>E68/0.75</f>
        <v>120</v>
      </c>
      <c r="F67" t="s">
        <v>83</v>
      </c>
    </row>
    <row r="68" spans="2:6" x14ac:dyDescent="0.25">
      <c r="B68" t="s">
        <v>86</v>
      </c>
      <c r="C68" t="s">
        <v>82</v>
      </c>
      <c r="D68">
        <v>750</v>
      </c>
      <c r="E68" s="1">
        <f>Munka2!C9</f>
        <v>90</v>
      </c>
      <c r="F68" t="s">
        <v>83</v>
      </c>
    </row>
    <row r="69" spans="2:6" x14ac:dyDescent="0.25">
      <c r="B69" t="s">
        <v>87</v>
      </c>
      <c r="C69" t="s">
        <v>82</v>
      </c>
      <c r="D69">
        <v>500</v>
      </c>
      <c r="E69">
        <f>(E67-(E67/10))/2</f>
        <v>54</v>
      </c>
      <c r="F69" t="s">
        <v>83</v>
      </c>
    </row>
    <row r="70" spans="2:6" x14ac:dyDescent="0.25">
      <c r="B70" t="s">
        <v>88</v>
      </c>
      <c r="C70" t="s">
        <v>82</v>
      </c>
      <c r="D70">
        <v>300</v>
      </c>
      <c r="E70">
        <f>(E67-(E67/10))/3</f>
        <v>36</v>
      </c>
      <c r="F70" t="s">
        <v>83</v>
      </c>
    </row>
    <row r="71" spans="2:6" x14ac:dyDescent="0.25">
      <c r="B71" t="s">
        <v>89</v>
      </c>
      <c r="C71" t="s">
        <v>82</v>
      </c>
      <c r="D71">
        <v>100</v>
      </c>
      <c r="E71">
        <f>E67/10</f>
        <v>12</v>
      </c>
      <c r="F71" t="s">
        <v>83</v>
      </c>
    </row>
    <row r="72" spans="2:6" x14ac:dyDescent="0.25">
      <c r="B72" t="s">
        <v>90</v>
      </c>
      <c r="C72" t="s">
        <v>82</v>
      </c>
      <c r="D72">
        <v>10</v>
      </c>
      <c r="E72">
        <f>E71/10</f>
        <v>1.2</v>
      </c>
      <c r="F72" t="s">
        <v>83</v>
      </c>
    </row>
    <row r="73" spans="2:6" x14ac:dyDescent="0.25">
      <c r="B73" t="s">
        <v>91</v>
      </c>
      <c r="C73" t="s">
        <v>82</v>
      </c>
      <c r="D73">
        <v>1</v>
      </c>
      <c r="E73">
        <f>E72/10</f>
        <v>0.12</v>
      </c>
      <c r="F73" t="s">
        <v>83</v>
      </c>
    </row>
    <row r="74" spans="2:6" x14ac:dyDescent="0.25">
      <c r="B74" t="s">
        <v>92</v>
      </c>
      <c r="C74" t="s">
        <v>93</v>
      </c>
      <c r="D74">
        <v>100000</v>
      </c>
      <c r="E74">
        <v>5000</v>
      </c>
      <c r="F74" t="s">
        <v>94</v>
      </c>
    </row>
    <row r="75" spans="2:6" x14ac:dyDescent="0.25">
      <c r="B75" t="s">
        <v>95</v>
      </c>
      <c r="C75" t="s">
        <v>96</v>
      </c>
      <c r="D75">
        <v>200</v>
      </c>
      <c r="E75">
        <v>50</v>
      </c>
      <c r="F75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A55B3-7ECA-47ED-9A44-74553F6DF4C6}">
  <dimension ref="B2:C9"/>
  <sheetViews>
    <sheetView workbookViewId="0">
      <selection activeCell="E68" sqref="E68"/>
    </sheetView>
  </sheetViews>
  <sheetFormatPr defaultRowHeight="15" x14ac:dyDescent="0.25"/>
  <cols>
    <col min="2" max="2" width="21.140625" customWidth="1"/>
  </cols>
  <sheetData>
    <row r="2" spans="2:3" x14ac:dyDescent="0.25">
      <c r="B2" t="s">
        <v>6</v>
      </c>
      <c r="C2">
        <v>2500</v>
      </c>
    </row>
    <row r="3" spans="2:3" x14ac:dyDescent="0.25">
      <c r="B3" t="s">
        <v>17</v>
      </c>
      <c r="C3">
        <v>1800</v>
      </c>
    </row>
    <row r="4" spans="2:3" x14ac:dyDescent="0.25">
      <c r="B4" t="s">
        <v>28</v>
      </c>
      <c r="C4">
        <v>2000</v>
      </c>
    </row>
    <row r="5" spans="2:3" x14ac:dyDescent="0.25">
      <c r="B5" t="s">
        <v>39</v>
      </c>
      <c r="C5">
        <v>900</v>
      </c>
    </row>
    <row r="6" spans="2:3" x14ac:dyDescent="0.25">
      <c r="B6" t="s">
        <v>50</v>
      </c>
      <c r="C6">
        <v>99990</v>
      </c>
    </row>
    <row r="7" spans="2:3" x14ac:dyDescent="0.25">
      <c r="B7" t="s">
        <v>61</v>
      </c>
      <c r="C7">
        <v>2720000</v>
      </c>
    </row>
    <row r="8" spans="2:3" x14ac:dyDescent="0.25">
      <c r="B8" t="s">
        <v>97</v>
      </c>
      <c r="C8">
        <v>492000</v>
      </c>
    </row>
    <row r="9" spans="2:3" x14ac:dyDescent="0.25">
      <c r="B9" t="s">
        <v>82</v>
      </c>
      <c r="C9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Munka2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Gábor Zsédely</cp:lastModifiedBy>
  <cp:revision/>
  <dcterms:created xsi:type="dcterms:W3CDTF">2023-03-22T21:17:10Z</dcterms:created>
  <dcterms:modified xsi:type="dcterms:W3CDTF">2023-03-23T17:05:04Z</dcterms:modified>
  <cp:category/>
  <cp:contentStatus/>
</cp:coreProperties>
</file>